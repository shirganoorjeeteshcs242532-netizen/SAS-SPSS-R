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geeta Jaykumar\Desktop\Its me Pihu\6874\New\"/>
    </mc:Choice>
  </mc:AlternateContent>
  <xr:revisionPtr revIDLastSave="0" documentId="13_ncr:1_{825B21A2-15A0-48B7-A99E-902A7C3D595F}" xr6:coauthVersionLast="47" xr6:coauthVersionMax="47" xr10:uidLastSave="{00000000-0000-0000-0000-000000000000}"/>
  <bookViews>
    <workbookView xWindow="-108" yWindow="-108" windowWidth="23256" windowHeight="12456" xr2:uid="{6D34A2EB-DBEF-4262-9719-728F04AE1B5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1" l="1"/>
  <c r="D4" i="2"/>
  <c r="D3" i="2"/>
  <c r="P11" i="1"/>
  <c r="P16" i="1" s="1"/>
  <c r="K9" i="1"/>
  <c r="J9" i="1"/>
  <c r="D9" i="1"/>
  <c r="L11" i="1"/>
  <c r="L16" i="1" s="1"/>
  <c r="K11" i="1"/>
  <c r="J11" i="1"/>
  <c r="J16" i="1" s="1"/>
  <c r="O11" i="1"/>
  <c r="O16" i="1" s="1"/>
  <c r="N11" i="1"/>
  <c r="N16" i="1" s="1"/>
  <c r="M11" i="1"/>
  <c r="M16" i="1" s="1"/>
  <c r="D14" i="1"/>
  <c r="D13" i="1"/>
  <c r="C11" i="1"/>
  <c r="D11" i="1" s="1"/>
  <c r="E11" i="1" l="1"/>
  <c r="F11" i="1" s="1"/>
  <c r="F16" i="1" s="1"/>
  <c r="G16" i="1" s="1"/>
  <c r="C16" i="1"/>
  <c r="H16" i="1" l="1"/>
  <c r="D16" i="1"/>
</calcChain>
</file>

<file path=xl/sharedStrings.xml><?xml version="1.0" encoding="utf-8"?>
<sst xmlns="http://schemas.openxmlformats.org/spreadsheetml/2006/main" count="32" uniqueCount="21">
  <si>
    <t>basic</t>
  </si>
  <si>
    <t>city allowance</t>
  </si>
  <si>
    <t>HRA</t>
  </si>
  <si>
    <t>Special Allowance</t>
  </si>
  <si>
    <t>edu</t>
  </si>
  <si>
    <t>Conveyance</t>
  </si>
  <si>
    <t>Ded</t>
  </si>
  <si>
    <t>PF</t>
  </si>
  <si>
    <t>Pt</t>
  </si>
  <si>
    <t>Net Pay</t>
  </si>
  <si>
    <t>Gross Pay</t>
  </si>
  <si>
    <t>Sep</t>
  </si>
  <si>
    <t>Aug</t>
  </si>
  <si>
    <t>July</t>
  </si>
  <si>
    <t>June</t>
  </si>
  <si>
    <t>April</t>
  </si>
  <si>
    <t>May</t>
  </si>
  <si>
    <t>Oct</t>
  </si>
  <si>
    <t>closing</t>
  </si>
  <si>
    <t>dr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</si>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</sst>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2" borderId="0" xfId="1" applyNumberFormat="1" applyFont="1" applyFill="1"/>
    <xf numFmtId="164" fontId="2" fillId="2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2DEB-65C8-40F7-9782-1B0227979B2D}">
  <dimension ref="A3:P18"/>
  <sheetViews>
    <sheetView tabSelected="1" workbookViewId="0">
      <selection activeCell="K22" sqref="K22"/>
    </sheetView>
  </sheetViews>
  <sheetFormatPr defaultRowHeight="14.4" x14ac:dyDescent="0.3"/>
  <cols>
    <col min="9" max="9" width="15.6640625" bestFit="1" customWidth="1"/>
    <col min="10" max="12" width="15.6640625" customWidth="1"/>
    <col min="13" max="15" width="9.88671875" bestFit="1" customWidth="1"/>
  </cols>
  <sheetData>
    <row r="3" spans="1:16" x14ac:dyDescent="0.3">
      <c r="C3" t="s">
        <v>14</v>
      </c>
      <c r="J3" t="s">
        <v>15</v>
      </c>
      <c r="K3" t="s">
        <v>16</v>
      </c>
      <c r="L3" t="s">
        <v>14</v>
      </c>
      <c r="M3" t="s">
        <v>13</v>
      </c>
      <c r="N3" t="s">
        <v>12</v>
      </c>
      <c r="O3" t="s">
        <v>11</v>
      </c>
      <c r="P3" t="s">
        <v>17</v>
      </c>
    </row>
    <row r="4" spans="1:16" x14ac:dyDescent="0.3">
      <c r="B4" t="s">
        <v>0</v>
      </c>
      <c r="C4">
        <v>22000</v>
      </c>
      <c r="I4" t="s">
        <v>0</v>
      </c>
      <c r="J4" s="1">
        <v>22000</v>
      </c>
      <c r="K4" s="1">
        <v>22000</v>
      </c>
      <c r="L4" s="1">
        <v>22000</v>
      </c>
      <c r="M4" s="1">
        <v>22000</v>
      </c>
      <c r="N4" s="1">
        <v>22000</v>
      </c>
      <c r="O4" s="1">
        <v>22000</v>
      </c>
      <c r="P4" s="1">
        <v>22000</v>
      </c>
    </row>
    <row r="5" spans="1:16" x14ac:dyDescent="0.3">
      <c r="B5" t="s">
        <v>1</v>
      </c>
      <c r="C5">
        <v>11500</v>
      </c>
      <c r="I5" t="s">
        <v>1</v>
      </c>
      <c r="J5" s="1">
        <v>11500</v>
      </c>
      <c r="K5" s="1">
        <v>11500</v>
      </c>
      <c r="L5" s="1">
        <v>11500</v>
      </c>
      <c r="M5" s="1">
        <v>11500</v>
      </c>
      <c r="N5" s="1">
        <v>11500</v>
      </c>
      <c r="O5" s="1">
        <v>11500</v>
      </c>
      <c r="P5" s="1">
        <v>11500</v>
      </c>
    </row>
    <row r="6" spans="1:16" x14ac:dyDescent="0.3">
      <c r="B6" t="s">
        <v>2</v>
      </c>
      <c r="C6">
        <v>10000</v>
      </c>
      <c r="I6" t="s">
        <v>2</v>
      </c>
      <c r="J6" s="1">
        <v>10000</v>
      </c>
      <c r="K6" s="1">
        <v>10000</v>
      </c>
      <c r="L6" s="1">
        <v>10000</v>
      </c>
      <c r="M6" s="1">
        <v>10000</v>
      </c>
      <c r="N6" s="1">
        <v>10000</v>
      </c>
      <c r="O6" s="1">
        <v>10000</v>
      </c>
      <c r="P6" s="1">
        <v>10000</v>
      </c>
    </row>
    <row r="7" spans="1:16" x14ac:dyDescent="0.3">
      <c r="B7" t="s">
        <v>5</v>
      </c>
      <c r="C7">
        <v>2000</v>
      </c>
      <c r="I7" t="s">
        <v>5</v>
      </c>
      <c r="J7" s="1">
        <v>2000</v>
      </c>
      <c r="K7" s="1">
        <v>2000</v>
      </c>
      <c r="L7" s="1">
        <v>2000</v>
      </c>
      <c r="M7" s="1">
        <v>2000</v>
      </c>
      <c r="N7" s="1">
        <v>2000</v>
      </c>
      <c r="O7" s="1">
        <v>2000</v>
      </c>
      <c r="P7" s="1">
        <v>2000</v>
      </c>
    </row>
    <row r="8" spans="1:16" x14ac:dyDescent="0.3">
      <c r="B8" t="s">
        <v>4</v>
      </c>
      <c r="C8">
        <v>400</v>
      </c>
      <c r="I8" t="s">
        <v>4</v>
      </c>
      <c r="J8" s="1">
        <v>400</v>
      </c>
      <c r="K8" s="1">
        <v>400</v>
      </c>
      <c r="L8" s="1">
        <v>400</v>
      </c>
      <c r="M8" s="1">
        <v>400</v>
      </c>
      <c r="N8" s="1">
        <v>400</v>
      </c>
      <c r="O8" s="1">
        <v>400</v>
      </c>
      <c r="P8" s="1">
        <v>400</v>
      </c>
    </row>
    <row r="9" spans="1:16" x14ac:dyDescent="0.3">
      <c r="B9" t="s">
        <v>3</v>
      </c>
      <c r="C9">
        <v>8717</v>
      </c>
      <c r="D9">
        <f>C9/30</f>
        <v>290.56666666666666</v>
      </c>
      <c r="I9" t="s">
        <v>3</v>
      </c>
      <c r="J9" s="1">
        <f>D9*30</f>
        <v>8717</v>
      </c>
      <c r="K9" s="1">
        <f>+D9*31</f>
        <v>9007.5666666666657</v>
      </c>
      <c r="L9" s="1">
        <v>8717</v>
      </c>
      <c r="M9" s="1">
        <v>9007.5666666666657</v>
      </c>
      <c r="N9" s="1">
        <v>9007.5666666666657</v>
      </c>
      <c r="O9" s="1">
        <v>8717</v>
      </c>
      <c r="P9" s="1">
        <v>9007.5666666666657</v>
      </c>
    </row>
    <row r="10" spans="1:16" x14ac:dyDescent="0.3">
      <c r="J10" s="1"/>
      <c r="K10" s="1"/>
      <c r="L10" s="1"/>
      <c r="M10" s="1"/>
      <c r="N10" s="1"/>
      <c r="O10" s="1"/>
      <c r="P10" s="1"/>
    </row>
    <row r="11" spans="1:16" x14ac:dyDescent="0.3">
      <c r="B11" t="s">
        <v>10</v>
      </c>
      <c r="C11">
        <f>SUM(C4:C10)</f>
        <v>54617</v>
      </c>
      <c r="D11">
        <f>C11*12</f>
        <v>655404</v>
      </c>
      <c r="E11">
        <f>+D11*25%</f>
        <v>163851</v>
      </c>
      <c r="F11">
        <f>SUM(D11:E11)</f>
        <v>819255</v>
      </c>
      <c r="I11" t="s">
        <v>10</v>
      </c>
      <c r="J11" s="1">
        <f t="shared" ref="J11:L11" si="0">SUM(J4:J10)</f>
        <v>54617</v>
      </c>
      <c r="K11" s="1">
        <f t="shared" si="0"/>
        <v>54907.566666666666</v>
      </c>
      <c r="L11" s="1">
        <f t="shared" si="0"/>
        <v>54617</v>
      </c>
      <c r="M11" s="1">
        <f>SUM(M4:M10)</f>
        <v>54907.566666666666</v>
      </c>
      <c r="N11" s="1">
        <f>SUM(N4:N10)</f>
        <v>54907.566666666666</v>
      </c>
      <c r="O11" s="1">
        <f>SUM(O4:O10)</f>
        <v>54617</v>
      </c>
      <c r="P11" s="1">
        <f>SUM(P4:P10)</f>
        <v>54907.566666666666</v>
      </c>
    </row>
    <row r="12" spans="1:16" x14ac:dyDescent="0.3">
      <c r="J12" s="1"/>
      <c r="K12" s="1"/>
      <c r="L12" s="1"/>
      <c r="M12" s="1"/>
      <c r="N12" s="1"/>
      <c r="O12" s="1"/>
      <c r="P12" s="1"/>
    </row>
    <row r="13" spans="1:16" x14ac:dyDescent="0.3">
      <c r="A13" t="s">
        <v>6</v>
      </c>
      <c r="B13" t="s">
        <v>7</v>
      </c>
      <c r="C13">
        <v>1800</v>
      </c>
      <c r="D13">
        <f>C13*12</f>
        <v>21600</v>
      </c>
      <c r="F13">
        <v>21600</v>
      </c>
      <c r="I13" t="s">
        <v>7</v>
      </c>
      <c r="J13" s="1">
        <v>1800</v>
      </c>
      <c r="K13" s="1">
        <v>1800</v>
      </c>
      <c r="L13" s="1">
        <v>1800</v>
      </c>
      <c r="M13" s="1">
        <v>1800</v>
      </c>
      <c r="N13" s="1">
        <v>1800</v>
      </c>
      <c r="O13" s="1">
        <v>1800</v>
      </c>
      <c r="P13" s="1">
        <v>1800</v>
      </c>
    </row>
    <row r="14" spans="1:16" x14ac:dyDescent="0.3">
      <c r="B14" t="s">
        <v>8</v>
      </c>
      <c r="C14">
        <v>200</v>
      </c>
      <c r="D14">
        <f>C14*12</f>
        <v>2400</v>
      </c>
      <c r="F14">
        <v>2400</v>
      </c>
      <c r="I14" t="s">
        <v>8</v>
      </c>
      <c r="J14" s="1">
        <v>200</v>
      </c>
      <c r="K14" s="1">
        <v>200</v>
      </c>
      <c r="L14" s="1">
        <v>200</v>
      </c>
      <c r="M14" s="1">
        <v>200</v>
      </c>
      <c r="N14" s="1">
        <v>200</v>
      </c>
      <c r="O14" s="1">
        <v>200</v>
      </c>
      <c r="P14" s="1">
        <v>200</v>
      </c>
    </row>
    <row r="15" spans="1:16" x14ac:dyDescent="0.3">
      <c r="J15" s="1"/>
      <c r="K15" s="1"/>
      <c r="L15" s="1"/>
      <c r="M15" s="1"/>
      <c r="N15" s="1"/>
      <c r="O15" s="1"/>
      <c r="P15" s="1"/>
    </row>
    <row r="16" spans="1:16" x14ac:dyDescent="0.3">
      <c r="B16" t="s">
        <v>9</v>
      </c>
      <c r="C16">
        <f>C11-C13-C14</f>
        <v>52617</v>
      </c>
      <c r="D16">
        <f>C16*12</f>
        <v>631404</v>
      </c>
      <c r="F16">
        <f>F11-F13-F14</f>
        <v>795255</v>
      </c>
      <c r="G16">
        <f>F16/12</f>
        <v>66271.25</v>
      </c>
      <c r="H16">
        <f>C16*25%</f>
        <v>13154.25</v>
      </c>
      <c r="I16" t="s">
        <v>9</v>
      </c>
      <c r="J16" s="3">
        <f t="shared" ref="J16:L16" si="1">J11-J13-J14</f>
        <v>52617</v>
      </c>
      <c r="K16" s="1">
        <f>K11-K13-K14</f>
        <v>52907.566666666666</v>
      </c>
      <c r="L16" s="2">
        <f t="shared" si="1"/>
        <v>52617</v>
      </c>
      <c r="M16" s="1">
        <f>M11-M13-M14</f>
        <v>52907.566666666666</v>
      </c>
      <c r="N16" s="1">
        <f>N11-N13-N14</f>
        <v>52907.566666666666</v>
      </c>
      <c r="O16" s="2">
        <f>O11-O13-O14</f>
        <v>52617</v>
      </c>
      <c r="P16" s="1">
        <f>P11-P13-P14</f>
        <v>52907.566666666666</v>
      </c>
    </row>
    <row r="18" spans="10:11" x14ac:dyDescent="0.3">
      <c r="J18">
        <v>52617</v>
      </c>
      <c r="K18">
        <v>52908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10F9A-D272-449B-9ED3-3EEABA5878D6}">
  <dimension ref="B1:D4"/>
  <sheetViews>
    <sheetView workbookViewId="0">
      <selection activeCell="D4" sqref="D4"/>
    </sheetView>
  </sheetViews>
  <sheetFormatPr defaultRowHeight="14.4" x14ac:dyDescent="0.3"/>
  <sheetData>
    <row r="1" spans="2:4" x14ac:dyDescent="0.3">
      <c r="B1" t="s">
        <v>19</v>
      </c>
      <c r="C1" t="s">
        <v>20</v>
      </c>
      <c r="D1" t="s">
        <v>18</v>
      </c>
    </row>
    <row r="2" spans="2:4" x14ac:dyDescent="0.3">
      <c r="D2">
        <v>52908</v>
      </c>
    </row>
    <row r="3" spans="2:4" x14ac:dyDescent="0.3">
      <c r="D3">
        <f>15000</f>
        <v>15000</v>
      </c>
    </row>
    <row r="4" spans="2:4" x14ac:dyDescent="0.3">
      <c r="D4">
        <f>D2-D3</f>
        <v>37908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Sangeeta Shirganoor</dc:creator>
  <cp:lastModifiedBy>Sangeeta Shirganoor</cp:lastModifiedBy>
  <dcterms:created xsi:type="dcterms:W3CDTF">2025-10-26T14:21:16Z</dcterms:created>
  <dcterms:modified xsi:type="dcterms:W3CDTF">2025-11-03T10:53:38Z</dcterms:modified>
</cp:coreProperties>
</file>